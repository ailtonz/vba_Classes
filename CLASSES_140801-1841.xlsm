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328" codeName="{74837BA0-65D6-932C-5D65-3B800EBDC722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ailton.z.da.silva\Downloads\"/>
    </mc:Choice>
  </mc:AlternateContent>
  <xr:revisionPtr revIDLastSave="0" documentId="13_ncr:1_{BDDE7EBB-7FF3-420D-B5AB-10698883EB60}" xr6:coauthVersionLast="41" xr6:coauthVersionMax="41" xr10:uidLastSave="{00000000-0000-0000-0000-000000000000}"/>
  <bookViews>
    <workbookView xWindow="-120" yWindow="-120" windowWidth="29040" windowHeight="15840" xr2:uid="{00000000-000D-0000-FFFF-FFFF00000000}"/>
  </bookViews>
  <sheets>
    <sheet name="BANCOS" sheetId="4" r:id="rId1"/>
    <sheet name="Plan1" sheetId="1" state="hidden" r:id="rId2"/>
    <sheet name="Apoio" sheetId="2" state="hidden" r:id="rId3"/>
    <sheet name="CUSTOS_PRODUCAO" sheetId="12" r:id="rId4"/>
    <sheet name="ESTILOS" sheetId="8" r:id="rId5"/>
    <sheet name="GRANDS" sheetId="3" r:id="rId6"/>
    <sheet name="IR" sheetId="5" r:id="rId7"/>
    <sheet name="IR (2)" sheetId="13" r:id="rId8"/>
    <sheet name="LINHAS" sheetId="10" r:id="rId9"/>
    <sheet name="PROFISSOES" sheetId="11" r:id="rId10"/>
    <sheet name="PROPOSTAS" sheetId="14" r:id="rId11"/>
    <sheet name="PROJETOS" sheetId="15" r:id="rId12"/>
    <sheet name="VER.3.0" sheetId="7" r:id="rId13"/>
  </sheets>
  <functionGroups builtInGroupCount="19"/>
  <definedNames>
    <definedName name="DRIVERS">OFFSET(BANCOS!$H$2,0,0,COUNTA(BANCOS!$H:$H)-1,1)</definedName>
    <definedName name="_xlnm.Print_Area" localSheetId="12">'VER.3.0'!$B$17:$D$46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2" i="4" l="1"/>
  <c r="C2" i="4"/>
</calcChain>
</file>

<file path=xl/sharedStrings.xml><?xml version="1.0" encoding="utf-8"?>
<sst xmlns="http://schemas.openxmlformats.org/spreadsheetml/2006/main" count="352" uniqueCount="183">
  <si>
    <t>X</t>
  </si>
  <si>
    <t>SERVIDOR</t>
  </si>
  <si>
    <t>BANCO 01</t>
  </si>
  <si>
    <t>DRIVERS</t>
  </si>
  <si>
    <t>SOURCE</t>
  </si>
  <si>
    <t>Source:</t>
  </si>
  <si>
    <t>Microsoft.ACE.OLEDB.12.0</t>
  </si>
  <si>
    <t>Access</t>
  </si>
  <si>
    <t>driver:</t>
  </si>
  <si>
    <t>MySQL ODBC 5.3 ANSI Driver</t>
  </si>
  <si>
    <t>Microsoft Access Driver (*.mdb, *.accdb)</t>
  </si>
  <si>
    <t>Access2003</t>
  </si>
  <si>
    <t>location:</t>
  </si>
  <si>
    <t>SQLite3 ODBC Driver</t>
  </si>
  <si>
    <t>SQLite</t>
  </si>
  <si>
    <t>database:</t>
  </si>
  <si>
    <t>MySQL ODBC 5.2a Driver</t>
  </si>
  <si>
    <t>MySQL</t>
  </si>
  <si>
    <t>user:</t>
  </si>
  <si>
    <t>admin</t>
  </si>
  <si>
    <t>PostgreSQL ANSI</t>
  </si>
  <si>
    <t>PostgreSQL</t>
  </si>
  <si>
    <t>password:</t>
  </si>
  <si>
    <t>abc</t>
  </si>
  <si>
    <t>port:</t>
  </si>
  <si>
    <t>DRIVER</t>
  </si>
  <si>
    <t>LOCATION</t>
  </si>
  <si>
    <t>DATABASE</t>
  </si>
  <si>
    <t>USER</t>
  </si>
  <si>
    <t>PASSWORD</t>
  </si>
  <si>
    <t>PORT</t>
  </si>
  <si>
    <t>Controle</t>
  </si>
  <si>
    <t>Vendedor</t>
  </si>
  <si>
    <t>Profissao</t>
  </si>
  <si>
    <t>Nome</t>
  </si>
  <si>
    <t>ValorLiquido</t>
  </si>
  <si>
    <t>137-14</t>
  </si>
  <si>
    <t>ID</t>
  </si>
  <si>
    <t>IR-ANO</t>
  </si>
  <si>
    <t>DESCRICAO</t>
  </si>
  <si>
    <t>FAIXA_INICIAL</t>
  </si>
  <si>
    <t>FAIXA_FINAL</t>
  </si>
  <si>
    <t>ALIQUOTA</t>
  </si>
  <si>
    <t>PARCELA_DEDUZIR</t>
  </si>
  <si>
    <t>IR-2014</t>
  </si>
  <si>
    <t>TRADUÇÃO</t>
  </si>
  <si>
    <t>REPRINTS</t>
  </si>
  <si>
    <t>MEDCOMMS</t>
  </si>
  <si>
    <t>PAGINAS</t>
  </si>
  <si>
    <t>VALOR</t>
  </si>
  <si>
    <t>TIPO</t>
  </si>
  <si>
    <t>ESTILO</t>
  </si>
  <si>
    <t>VERSÃO</t>
  </si>
  <si>
    <t>MÓDULO</t>
  </si>
  <si>
    <t>DESCRIÇÃO</t>
  </si>
  <si>
    <t>3.0</t>
  </si>
  <si>
    <t>COPIAR ORÇAMENTO</t>
  </si>
  <si>
    <t>VOLTAR ETAPA</t>
  </si>
  <si>
    <t>CHECAR A EXISTENCIA DE CUSTOS DE PRODUÇÃO AO ENVIAR PARA PROXIMA ETAPA</t>
  </si>
  <si>
    <t>SCRIPT MUDANÇA DE SISTEMA</t>
  </si>
  <si>
    <t>MUDAR CADASTROS - IMPORT_DESEMB &gt;&gt;&gt; IMPORT</t>
  </si>
  <si>
    <t>MUDAR CADASTROS - TRANSP. &gt;&gt;&gt; TRANSPORTE NACIONAL</t>
  </si>
  <si>
    <t>NOVOS CAMPOS - LINHAS DE PRODUTOS ( AJUSTE DE LINHA DE 1 A 4 )</t>
  </si>
  <si>
    <t>EXPORT DE DADOS - ORÇAMENTOS</t>
  </si>
  <si>
    <t>EXPORT DE DADOS - CUSTOS</t>
  </si>
  <si>
    <t>EXPORT DE DADOS - ANEXOS</t>
  </si>
  <si>
    <t>NOVOS CAMPOS - CADASTRO DE VENDEDOR ( TELEFONE, CELULAR_01, CELULAR_02, ID NEXTEL )</t>
  </si>
  <si>
    <t>NOVOS CAMPOS - LINHAS DE PRODUTOS ( DE 1 A 4 )</t>
  </si>
  <si>
    <t>NOVOS CAMPOS - FASCICULOS ( DE 1 A 4 )</t>
  </si>
  <si>
    <t>NOVOS CAMPOS - PREÇO MKT ( DE 1 A 4 )</t>
  </si>
  <si>
    <t>NOVOS CAMPOS - DESCONTO PADRÃO ( DE 1 A 4 )</t>
  </si>
  <si>
    <t>NOVOS CAMPOS - ARREDENDAMENTO ( DE 1 A 4 )</t>
  </si>
  <si>
    <t>NOVOS CAMPOS - PREÇO TOTAL ( DE 1 A 4 )</t>
  </si>
  <si>
    <t>EXCLUSÃO - PREÇO ORÇADO</t>
  </si>
  <si>
    <t>EXCLUSÃO - DESCONTO</t>
  </si>
  <si>
    <t>SINCRONISMO</t>
  </si>
  <si>
    <t>ATUALIZAÇÃO DE STATUS ENTRE DEPARTAMENTOS</t>
  </si>
  <si>
    <t>ANALISE ADMINISTRATIVA</t>
  </si>
  <si>
    <t>(SERVIDOR) - CONTADOR DE ORÇAMENTOS POR STATUS</t>
  </si>
  <si>
    <t>VENDAS - NOVO</t>
  </si>
  <si>
    <t>VENDAS - CUSTO</t>
  </si>
  <si>
    <t>DESBLOQUEIO</t>
  </si>
  <si>
    <t xml:space="preserve">VENDAS - ( Ñ EDITAR ) - RE-CUSTO </t>
  </si>
  <si>
    <t xml:space="preserve">VENDAS - ( Ñ EDITAR ) - ORÇAMENTO </t>
  </si>
  <si>
    <t xml:space="preserve">VENDAS - ( Ñ EDITAR ) - CUSTO </t>
  </si>
  <si>
    <t>PROPOSTAS</t>
  </si>
  <si>
    <t>GRAND</t>
  </si>
  <si>
    <t>IR</t>
  </si>
  <si>
    <t>CUSTOS DE PRODUÇÃO</t>
  </si>
  <si>
    <t>PRODUÇÃO - CADASTRO DE IMPOSTO DE RENDA</t>
  </si>
  <si>
    <t>PRODUÇÃO - CADASTRO DE CUSTOS DE PRODUÇÃO</t>
  </si>
  <si>
    <t>VENDAS - CADASTRO DE GRAND</t>
  </si>
  <si>
    <t>SIMULADOR DE CUSTOS</t>
  </si>
  <si>
    <t>VENDAS - SIMULADOR DE CUSTOS</t>
  </si>
  <si>
    <t>ATUALIZAR VENDAS</t>
  </si>
  <si>
    <t>ATUALIZAR VENDAS - ( IR, CUSTOS DE PRODUÇÃO )</t>
  </si>
  <si>
    <t>PRODUÇÃO - CADASTRO DE ESTILOS</t>
  </si>
  <si>
    <t>PROFISSÃO</t>
  </si>
  <si>
    <t>PRODUÇÃO - CADASTRO DE PROFISSÃO</t>
  </si>
  <si>
    <t>RELACIONAR</t>
  </si>
  <si>
    <t>PRODUÇÃO - RELACIONAR LINHAS DE PRODUTOS COM ESTILOS</t>
  </si>
  <si>
    <t>VENDAS - GERAR PROPOSTAS - ( PROJETOS 1 - 4 )</t>
  </si>
  <si>
    <t>ARREDONDAMENTO</t>
  </si>
  <si>
    <t>VENDAS - ARREDONDAMENTO DE VALOR "..."</t>
  </si>
  <si>
    <t>ALERTA</t>
  </si>
  <si>
    <t>VENDAS - ALERTA - ( MARGEM MINIMA )</t>
  </si>
  <si>
    <t>STATUS</t>
  </si>
  <si>
    <t>OK</t>
  </si>
  <si>
    <t>PRODUÇÃO - CADASTRO DE VENDEDOR</t>
  </si>
  <si>
    <t>VENDEDOR</t>
  </si>
  <si>
    <t>LINHA DE PRODUTO</t>
  </si>
  <si>
    <t>MAXIMO</t>
  </si>
  <si>
    <t>MINIMO</t>
  </si>
  <si>
    <t>PROFISSAO</t>
  </si>
  <si>
    <t>DOUTOR</t>
  </si>
  <si>
    <t>JORNALISTA</t>
  </si>
  <si>
    <t>SUBTIPO</t>
  </si>
  <si>
    <t>ADMINISTRADOR</t>
  </si>
  <si>
    <t>ARQUIVISTA</t>
  </si>
  <si>
    <t>PROGRAMADOR</t>
  </si>
  <si>
    <t>FAXINEIRA</t>
  </si>
  <si>
    <t>CHEF DE COZINHA</t>
  </si>
  <si>
    <t>SUPORTE TÉCNICO</t>
  </si>
  <si>
    <t>COZINHEIRO</t>
  </si>
  <si>
    <t>DR</t>
  </si>
  <si>
    <t>fabiana</t>
  </si>
  <si>
    <t>folders</t>
  </si>
  <si>
    <t>3º PARTY CONTRACTUAL</t>
  </si>
  <si>
    <t>3º PARTY NOW CONTRACTUAL</t>
  </si>
  <si>
    <t>3º PARTY WILEY</t>
  </si>
  <si>
    <t>AACR-ENGLISH</t>
  </si>
  <si>
    <t>AACR-TRANSLATED</t>
  </si>
  <si>
    <t>ADIS JNL REPRINTS</t>
  </si>
  <si>
    <t>AMA - ENGLISH</t>
  </si>
  <si>
    <t>AMA - TRANSLATED</t>
  </si>
  <si>
    <t>ASCO BD - Virtual Meeting</t>
  </si>
  <si>
    <t>ASCO BD DEVELOPMENT (excl. VM)</t>
  </si>
  <si>
    <t>ASCO LOCAL EDITION</t>
  </si>
  <si>
    <t>ASCO REPRINT</t>
  </si>
  <si>
    <t>INSCIENCE  MED COMMS</t>
  </si>
  <si>
    <t>LWW ACC</t>
  </si>
  <si>
    <t>LWW BULK BOOKS</t>
  </si>
  <si>
    <t>LWW LOCAL EDITIONS</t>
  </si>
  <si>
    <t>LWW REPRINTS</t>
  </si>
  <si>
    <t>SH BOOKS</t>
  </si>
  <si>
    <t>SH JNL REPRINTS</t>
  </si>
  <si>
    <t>SPRINGER BOOKS</t>
  </si>
  <si>
    <t>SPRINGER JNL REPRINTS</t>
  </si>
  <si>
    <t>Até R$ 1.787,77</t>
  </si>
  <si>
    <t>De R$ 1.787,78 até R$ 2.679,29</t>
  </si>
  <si>
    <t>De R$ 2.679,30 até R$ 3.572,43</t>
  </si>
  <si>
    <t>De R$ 3.572,44 até R$ 4.463,81</t>
  </si>
  <si>
    <t>Acima de R$ 4.463,81</t>
  </si>
  <si>
    <t>Até R$ 500</t>
  </si>
  <si>
    <t>ARQUIVO</t>
  </si>
  <si>
    <t>CONTROLE</t>
  </si>
  <si>
    <t>CLIENTE</t>
  </si>
  <si>
    <t>RESPONSAVEL</t>
  </si>
  <si>
    <t>PROJETO</t>
  </si>
  <si>
    <t>JOURNAL</t>
  </si>
  <si>
    <t>AUTOR</t>
  </si>
  <si>
    <t>PUBLISHER</t>
  </si>
  <si>
    <t>GERENTE DE VENDAS</t>
  </si>
  <si>
    <t>TELEFONE</t>
  </si>
  <si>
    <t>CELULAR 01</t>
  </si>
  <si>
    <t>CELULAR 02</t>
  </si>
  <si>
    <t>ID NEXTEL</t>
  </si>
  <si>
    <t>CAMINHO</t>
  </si>
  <si>
    <t>IDIOMA</t>
  </si>
  <si>
    <t>VOLUME</t>
  </si>
  <si>
    <t>ailton</t>
  </si>
  <si>
    <t>jose</t>
  </si>
  <si>
    <t>OPÇÃO</t>
  </si>
  <si>
    <t>PREÇO DE VENDAS ( TOTAL )</t>
  </si>
  <si>
    <t>PREÇO DE VENDAS ( UNITARIO )</t>
  </si>
  <si>
    <t>F1</t>
  </si>
  <si>
    <t>F2</t>
  </si>
  <si>
    <t>F3</t>
  </si>
  <si>
    <t>PORTUGUES</t>
  </si>
  <si>
    <t>INGLES</t>
  </si>
  <si>
    <t>JAPONES</t>
  </si>
  <si>
    <t>C:\temp\projeto\db\</t>
  </si>
  <si>
    <t>dbProjeto.mdb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</si>
</sst>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7" formatCode="&quot;R$&quot;\ #,##0.00;\-&quot;R$&quot;\ #,##0.00"/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-&quot;£&quot;* #,##0.00_-;\-&quot;£&quot;* #,##0.00_-;_-&quot;£&quot;* &quot;-&quot;??_-;_-@_-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0"/>
      <color indexed="12"/>
      <name val="Arial"/>
      <family val="2"/>
    </font>
    <font>
      <sz val="10"/>
      <name val="Arial"/>
      <family val="2"/>
    </font>
    <font>
      <sz val="11"/>
      <color theme="1"/>
      <name val="Trebuchet MS"/>
      <family val="2"/>
    </font>
    <font>
      <sz val="11"/>
      <color indexed="8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-0.249977111117893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6">
    <xf numFmtId="0" fontId="0" fillId="0" borderId="0"/>
    <xf numFmtId="0" fontId="4" fillId="0" borderId="0" applyNumberFormat="0" applyFill="0" applyBorder="0" applyAlignment="0" applyProtection="0">
      <alignment vertical="top"/>
      <protection locked="0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0" fontId="5" fillId="0" borderId="0"/>
    <xf numFmtId="0" fontId="1" fillId="0" borderId="0"/>
    <xf numFmtId="0" fontId="6" fillId="0" borderId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30">
    <xf numFmtId="0" fontId="0" fillId="0" borderId="0" xfId="0"/>
    <xf numFmtId="0" fontId="0" fillId="0" borderId="0" xfId="0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0" fillId="4" borderId="5" xfId="0" applyFill="1" applyBorder="1" applyAlignment="1">
      <alignment horizontal="right"/>
    </xf>
    <xf numFmtId="0" fontId="0" fillId="4" borderId="6" xfId="0" applyFill="1" applyBorder="1" applyAlignment="1">
      <alignment horizontal="left" vertical="center"/>
    </xf>
    <xf numFmtId="0" fontId="0" fillId="0" borderId="7" xfId="0" applyBorder="1"/>
    <xf numFmtId="0" fontId="0" fillId="4" borderId="8" xfId="0" applyFill="1" applyBorder="1" applyAlignment="1">
      <alignment horizontal="right"/>
    </xf>
    <xf numFmtId="0" fontId="0" fillId="4" borderId="9" xfId="0" applyFill="1" applyBorder="1" applyAlignment="1">
      <alignment horizontal="left" vertical="center"/>
    </xf>
    <xf numFmtId="0" fontId="0" fillId="0" borderId="10" xfId="0" applyBorder="1"/>
    <xf numFmtId="0" fontId="0" fillId="4" borderId="11" xfId="0" applyFill="1" applyBorder="1" applyAlignment="1">
      <alignment horizontal="right"/>
    </xf>
    <xf numFmtId="0" fontId="0" fillId="4" borderId="12" xfId="0" applyFill="1" applyBorder="1" applyAlignment="1">
      <alignment horizontal="left" vertical="center"/>
    </xf>
    <xf numFmtId="0" fontId="3" fillId="0" borderId="0" xfId="0" applyFont="1"/>
    <xf numFmtId="0" fontId="3" fillId="0" borderId="0" xfId="0" applyFont="1" applyAlignment="1">
      <alignment horizontal="center" vertical="center"/>
    </xf>
    <xf numFmtId="14" fontId="3" fillId="0" borderId="0" xfId="0" applyNumberFormat="1" applyFont="1"/>
    <xf numFmtId="14" fontId="0" fillId="0" borderId="0" xfId="0" applyNumberFormat="1"/>
    <xf numFmtId="0" fontId="0" fillId="2" borderId="0" xfId="0" applyFill="1" applyAlignment="1">
      <alignment horizontal="center" vertical="center"/>
    </xf>
    <xf numFmtId="0" fontId="0" fillId="2" borderId="0" xfId="0" applyFill="1"/>
    <xf numFmtId="14" fontId="0" fillId="2" borderId="0" xfId="0" applyNumberFormat="1" applyFill="1"/>
    <xf numFmtId="7" fontId="0" fillId="0" borderId="0" xfId="0" applyNumberFormat="1"/>
    <xf numFmtId="9" fontId="0" fillId="0" borderId="0" xfId="15" applyFont="1"/>
    <xf numFmtId="43" fontId="0" fillId="0" borderId="0" xfId="14" applyFont="1"/>
    <xf numFmtId="0" fontId="3" fillId="5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3" fontId="0" fillId="0" borderId="0" xfId="0" applyNumberFormat="1"/>
    <xf numFmtId="0" fontId="3" fillId="2" borderId="1" xfId="0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</cellXfs>
  <cellStyles count="16">
    <cellStyle name="Comma" xfId="14" builtinId="3"/>
    <cellStyle name="Hiperlink 2" xfId="1" xr:uid="{00000000-0005-0000-0000-000000000000}"/>
    <cellStyle name="Moeda 2" xfId="2" xr:uid="{00000000-0005-0000-0000-000001000000}"/>
    <cellStyle name="Moeda 2 2" xfId="3" xr:uid="{00000000-0005-0000-0000-000002000000}"/>
    <cellStyle name="Moeda 3" xfId="4" xr:uid="{00000000-0005-0000-0000-000003000000}"/>
    <cellStyle name="Normal" xfId="0" builtinId="0"/>
    <cellStyle name="Normal 2" xfId="5" xr:uid="{00000000-0005-0000-0000-000005000000}"/>
    <cellStyle name="Normal 2 2" xfId="6" xr:uid="{00000000-0005-0000-0000-000006000000}"/>
    <cellStyle name="Normal 3" xfId="7" xr:uid="{00000000-0005-0000-0000-000007000000}"/>
    <cellStyle name="Normal 4" xfId="8" xr:uid="{00000000-0005-0000-0000-000008000000}"/>
    <cellStyle name="Percent" xfId="15" builtinId="5"/>
    <cellStyle name="Separador de milhares 2" xfId="9" xr:uid="{00000000-0005-0000-0000-00000B000000}"/>
    <cellStyle name="Separador de milhares 2 2" xfId="10" xr:uid="{00000000-0005-0000-0000-00000C000000}"/>
    <cellStyle name="Separador de milhares 2 2 2" xfId="11" xr:uid="{00000000-0005-0000-0000-00000D000000}"/>
    <cellStyle name="Separador de milhares 2 3" xfId="12" xr:uid="{00000000-0005-0000-0000-00000E000000}"/>
    <cellStyle name="Vírgula 2" xfId="13" xr:uid="{00000000-0005-0000-0000-00000F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4"/>
  <dimension ref="A1:I11"/>
  <sheetViews>
    <sheetView tabSelected="1" workbookViewId="0"/>
  </sheetViews>
  <sheetFormatPr defaultRowHeight="15" x14ac:dyDescent="0.25"/>
  <cols>
    <col min="1" max="1" width="2.140625" bestFit="1" customWidth="1"/>
    <col min="2" max="2" width="10" bestFit="1" customWidth="1"/>
    <col min="3" max="3" width="22.7109375" bestFit="1" customWidth="1"/>
    <col min="4" max="4" width="2.140625" bestFit="1" customWidth="1"/>
    <col min="5" max="5" width="10" bestFit="1" customWidth="1"/>
    <col min="6" max="6" width="57.140625" bestFit="1" customWidth="1"/>
    <col min="7" max="7" width="2.140625" style="1" bestFit="1" customWidth="1"/>
    <col min="8" max="8" width="37.42578125" bestFit="1" customWidth="1"/>
    <col min="9" max="9" width="11" bestFit="1" customWidth="1"/>
  </cols>
  <sheetData>
    <row r="1" spans="1:9" ht="15.75" thickBot="1" x14ac:dyDescent="0.3">
      <c r="A1" s="1" t="s">
        <v>0</v>
      </c>
      <c r="B1" s="26" t="s">
        <v>1</v>
      </c>
      <c r="C1" s="27"/>
      <c r="D1" s="1" t="s">
        <v>0</v>
      </c>
      <c r="E1" s="28" t="s">
        <v>2</v>
      </c>
      <c r="F1" s="29"/>
      <c r="G1" s="1" t="s">
        <v>0</v>
      </c>
      <c r="H1" s="2" t="s">
        <v>3</v>
      </c>
      <c r="I1" s="3" t="s">
        <v>4</v>
      </c>
    </row>
    <row r="2" spans="1:9" x14ac:dyDescent="0.25">
      <c r="A2" s="1"/>
      <c r="B2" s="4" t="s">
        <v>5</v>
      </c>
      <c r="C2" s="5" t="str">
        <f>VLOOKUP(C3,H1:I11,2,FALSE)</f>
        <v>MySQL</v>
      </c>
      <c r="D2" s="1"/>
      <c r="E2" s="4" t="s">
        <v>5</v>
      </c>
      <c r="F2" s="5" t="str">
        <f>VLOOKUP(F3,H1:I11,2,FALSE)</f>
        <v>Access2003</v>
      </c>
      <c r="H2" s="6" t="s">
        <v>6</v>
      </c>
      <c r="I2" s="6" t="s">
        <v>7</v>
      </c>
    </row>
    <row r="3" spans="1:9" x14ac:dyDescent="0.25">
      <c r="A3" s="1"/>
      <c r="B3" s="7" t="s">
        <v>8</v>
      </c>
      <c r="C3" s="8" t="s">
        <v>9</v>
      </c>
      <c r="D3" s="1"/>
      <c r="E3" s="7" t="s">
        <v>8</v>
      </c>
      <c r="F3" s="8" t="s">
        <v>10</v>
      </c>
      <c r="H3" s="9" t="s">
        <v>10</v>
      </c>
      <c r="I3" s="9" t="s">
        <v>11</v>
      </c>
    </row>
    <row r="4" spans="1:9" x14ac:dyDescent="0.25">
      <c r="A4" s="1"/>
      <c r="B4" s="7" t="s">
        <v>12</v>
      </c>
      <c r="C4" s="8"/>
      <c r="D4" s="1"/>
      <c r="E4" s="7" t="s">
        <v>12</v>
      </c>
      <c r="F4" s="8" t="s">
        <v>181</v>
      </c>
      <c r="H4" s="9" t="s">
        <v>13</v>
      </c>
      <c r="I4" s="9" t="s">
        <v>14</v>
      </c>
    </row>
    <row r="5" spans="1:9" x14ac:dyDescent="0.25">
      <c r="A5" s="1"/>
      <c r="B5" s="7" t="s">
        <v>15</v>
      </c>
      <c r="C5" s="8"/>
      <c r="D5" s="1"/>
      <c r="E5" s="7" t="s">
        <v>15</v>
      </c>
      <c r="F5" s="8" t="s">
        <v>182</v>
      </c>
      <c r="H5" s="9" t="s">
        <v>16</v>
      </c>
      <c r="I5" s="9" t="s">
        <v>17</v>
      </c>
    </row>
    <row r="6" spans="1:9" x14ac:dyDescent="0.25">
      <c r="A6" s="1"/>
      <c r="B6" s="7" t="s">
        <v>18</v>
      </c>
      <c r="C6" s="8"/>
      <c r="D6" s="1"/>
      <c r="E6" s="7" t="s">
        <v>18</v>
      </c>
      <c r="F6" s="8" t="s">
        <v>19</v>
      </c>
      <c r="H6" s="9" t="s">
        <v>20</v>
      </c>
      <c r="I6" s="9" t="s">
        <v>21</v>
      </c>
    </row>
    <row r="7" spans="1:9" x14ac:dyDescent="0.25">
      <c r="A7" s="1"/>
      <c r="B7" s="7" t="s">
        <v>22</v>
      </c>
      <c r="C7" s="8"/>
      <c r="D7" s="1"/>
      <c r="E7" s="7" t="s">
        <v>22</v>
      </c>
      <c r="F7" s="8" t="s">
        <v>23</v>
      </c>
      <c r="H7" s="9" t="s">
        <v>9</v>
      </c>
      <c r="I7" s="9" t="s">
        <v>17</v>
      </c>
    </row>
    <row r="8" spans="1:9" ht="15.75" thickBot="1" x14ac:dyDescent="0.3">
      <c r="A8" s="1"/>
      <c r="B8" s="10" t="s">
        <v>24</v>
      </c>
      <c r="C8" s="11">
        <v>3306</v>
      </c>
      <c r="D8" s="1"/>
      <c r="E8" s="10" t="s">
        <v>24</v>
      </c>
      <c r="F8" s="11"/>
      <c r="H8" s="9"/>
      <c r="I8" s="9"/>
    </row>
    <row r="9" spans="1:9" x14ac:dyDescent="0.25">
      <c r="H9" s="9"/>
      <c r="I9" s="9"/>
    </row>
    <row r="10" spans="1:9" x14ac:dyDescent="0.25">
      <c r="H10" s="9"/>
      <c r="I10" s="9"/>
    </row>
    <row r="11" spans="1:9" x14ac:dyDescent="0.25">
      <c r="H11" s="9"/>
      <c r="I11" s="9"/>
    </row>
  </sheetData>
  <mergeCells count="2">
    <mergeCell ref="B1:C1"/>
    <mergeCell ref="E1:F1"/>
  </mergeCells>
  <dataValidations count="1">
    <dataValidation type="list" allowBlank="1" showInputMessage="1" showErrorMessage="1" sqref="C3 F3" xr:uid="{00000000-0002-0000-0000-000000000000}">
      <formula1>DRIVERS</formula1>
    </dataValidation>
  </dataValidations>
  <pageMargins left="0.511811024" right="0.511811024" top="0.78740157499999996" bottom="0.78740157499999996" header="0.31496062000000002" footer="0.31496062000000002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/>
  <dimension ref="B1:H4"/>
  <sheetViews>
    <sheetView workbookViewId="0">
      <pane ySplit="1" topLeftCell="A2" activePane="bottomLeft" state="frozen"/>
      <selection activeCell="B17" sqref="B17"/>
      <selection pane="bottomLeft" activeCell="A2" sqref="A2"/>
    </sheetView>
  </sheetViews>
  <sheetFormatPr defaultRowHeight="15" x14ac:dyDescent="0.25"/>
  <cols>
    <col min="2" max="2" width="10.85546875" bestFit="1" customWidth="1"/>
    <col min="3" max="3" width="37.42578125" bestFit="1" customWidth="1"/>
    <col min="4" max="4" width="57.140625" bestFit="1" customWidth="1"/>
    <col min="5" max="5" width="18.85546875" bestFit="1" customWidth="1"/>
    <col min="6" max="6" width="13.7109375" bestFit="1" customWidth="1"/>
    <col min="7" max="7" width="11.28515625" bestFit="1" customWidth="1"/>
    <col min="8" max="8" width="5.7109375" bestFit="1" customWidth="1"/>
  </cols>
  <sheetData>
    <row r="1" spans="2:8" s="12" customFormat="1" x14ac:dyDescent="0.25">
      <c r="B1" s="12" t="s">
        <v>4</v>
      </c>
      <c r="C1" s="12" t="s">
        <v>25</v>
      </c>
      <c r="D1" s="12" t="s">
        <v>26</v>
      </c>
      <c r="E1" s="12" t="s">
        <v>27</v>
      </c>
      <c r="F1" s="12" t="s">
        <v>28</v>
      </c>
      <c r="G1" s="12" t="s">
        <v>29</v>
      </c>
      <c r="H1" s="12" t="s">
        <v>30</v>
      </c>
    </row>
    <row r="2" spans="2:8" x14ac:dyDescent="0.25">
      <c r="B2" t="s">
        <v>17</v>
      </c>
      <c r="C2" t="s">
        <v>9</v>
      </c>
    </row>
    <row r="3" spans="2:8" x14ac:dyDescent="0.25">
      <c r="B3" t="s">
        <v>11</v>
      </c>
      <c r="C3" t="s">
        <v>10</v>
      </c>
    </row>
    <row r="4" spans="2:8" x14ac:dyDescent="0.25">
      <c r="B4" t="s">
        <v>17</v>
      </c>
      <c r="C4" t="s">
        <v>9</v>
      </c>
    </row>
  </sheetData>
  <pageMargins left="0.511811024" right="0.511811024" top="0.78740157499999996" bottom="0.78740157499999996" header="0.31496062000000002" footer="0.31496062000000002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2"/>
  <dimension ref="A1:B12"/>
  <sheetViews>
    <sheetView workbookViewId="0">
      <selection activeCell="B17" sqref="B17"/>
    </sheetView>
  </sheetViews>
  <sheetFormatPr defaultRowHeight="15" x14ac:dyDescent="0.25"/>
  <cols>
    <col min="1" max="1" width="37.42578125" bestFit="1" customWidth="1"/>
    <col min="2" max="2" width="11" bestFit="1" customWidth="1"/>
  </cols>
  <sheetData>
    <row r="1" spans="1:2" ht="15.75" thickBot="1" x14ac:dyDescent="0.3">
      <c r="A1" s="2" t="s">
        <v>3</v>
      </c>
      <c r="B1" s="3" t="s">
        <v>4</v>
      </c>
    </row>
    <row r="2" spans="1:2" x14ac:dyDescent="0.25">
      <c r="A2" s="6" t="s">
        <v>6</v>
      </c>
      <c r="B2" s="6" t="s">
        <v>7</v>
      </c>
    </row>
    <row r="3" spans="1:2" x14ac:dyDescent="0.25">
      <c r="A3" s="9" t="s">
        <v>10</v>
      </c>
      <c r="B3" s="9" t="s">
        <v>11</v>
      </c>
    </row>
    <row r="4" spans="1:2" x14ac:dyDescent="0.25">
      <c r="A4" s="9" t="s">
        <v>13</v>
      </c>
      <c r="B4" s="9" t="s">
        <v>14</v>
      </c>
    </row>
    <row r="5" spans="1:2" x14ac:dyDescent="0.25">
      <c r="A5" s="9" t="s">
        <v>16</v>
      </c>
      <c r="B5" s="9" t="s">
        <v>17</v>
      </c>
    </row>
    <row r="6" spans="1:2" x14ac:dyDescent="0.25">
      <c r="A6" s="9" t="s">
        <v>20</v>
      </c>
      <c r="B6" s="9" t="s">
        <v>21</v>
      </c>
    </row>
    <row r="7" spans="1:2" x14ac:dyDescent="0.25">
      <c r="A7" s="9" t="s">
        <v>9</v>
      </c>
      <c r="B7" s="9" t="s">
        <v>17</v>
      </c>
    </row>
    <row r="8" spans="1:2" x14ac:dyDescent="0.25">
      <c r="A8" s="9"/>
      <c r="B8" s="9"/>
    </row>
    <row r="9" spans="1:2" x14ac:dyDescent="0.25">
      <c r="A9" s="9"/>
      <c r="B9" s="9"/>
    </row>
    <row r="10" spans="1:2" x14ac:dyDescent="0.25">
      <c r="A10" s="9"/>
      <c r="B10" s="9"/>
    </row>
    <row r="11" spans="1:2" x14ac:dyDescent="0.25">
      <c r="A11" s="9"/>
      <c r="B11" s="9"/>
    </row>
    <row r="12" spans="1:2" x14ac:dyDescent="0.25">
      <c r="A12" s="9"/>
      <c r="B12" s="9"/>
    </row>
  </sheetData>
  <pageMargins left="0.511811024" right="0.511811024" top="0.78740157499999996" bottom="0.78740157499999996" header="0.31496062000000002" footer="0.31496062000000002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11"/>
  <dimension ref="A1:F2"/>
  <sheetViews>
    <sheetView workbookViewId="0">
      <pane ySplit="1" topLeftCell="A2" activePane="bottomLeft" state="frozen"/>
      <selection pane="bottomLeft" activeCell="A2" sqref="A2"/>
    </sheetView>
  </sheetViews>
  <sheetFormatPr defaultColWidth="13.28515625" defaultRowHeight="15" x14ac:dyDescent="0.25"/>
  <cols>
    <col min="3" max="3" width="14.5703125" customWidth="1"/>
    <col min="4" max="4" width="22.7109375" bestFit="1" customWidth="1"/>
  </cols>
  <sheetData>
    <row r="1" spans="1:6" s="13" customFormat="1" x14ac:dyDescent="0.25">
      <c r="A1" s="13" t="s">
        <v>37</v>
      </c>
      <c r="B1" s="13" t="s">
        <v>48</v>
      </c>
      <c r="C1" s="13" t="s">
        <v>49</v>
      </c>
      <c r="D1" s="13" t="s">
        <v>50</v>
      </c>
      <c r="E1" s="13" t="s">
        <v>51</v>
      </c>
      <c r="F1" s="13" t="s">
        <v>116</v>
      </c>
    </row>
    <row r="2" spans="1:6" x14ac:dyDescent="0.25">
      <c r="A2">
        <v>1517</v>
      </c>
      <c r="C2" s="19">
        <v>5281.32</v>
      </c>
      <c r="D2" t="s">
        <v>45</v>
      </c>
      <c r="E2" t="s">
        <v>46</v>
      </c>
      <c r="F2" t="s">
        <v>126</v>
      </c>
    </row>
  </sheetData>
  <pageMargins left="0.511811024" right="0.511811024" top="0.78740157499999996" bottom="0.78740157499999996" header="0.31496062000000002" footer="0.31496062000000002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8"/>
  <dimension ref="A1:B3"/>
  <sheetViews>
    <sheetView workbookViewId="0">
      <pane ySplit="1" topLeftCell="A2" activePane="bottomLeft" state="frozen"/>
      <selection pane="bottomLeft" activeCell="C12" sqref="C12"/>
    </sheetView>
  </sheetViews>
  <sheetFormatPr defaultColWidth="13.28515625" defaultRowHeight="15" x14ac:dyDescent="0.25"/>
  <sheetData>
    <row r="1" spans="1:2" s="13" customFormat="1" x14ac:dyDescent="0.25">
      <c r="A1" s="13" t="s">
        <v>37</v>
      </c>
      <c r="B1" s="13" t="s">
        <v>51</v>
      </c>
    </row>
    <row r="2" spans="1:2" x14ac:dyDescent="0.25">
      <c r="A2">
        <v>1509</v>
      </c>
      <c r="B2" t="s">
        <v>47</v>
      </c>
    </row>
    <row r="3" spans="1:2" x14ac:dyDescent="0.25">
      <c r="A3">
        <v>1508</v>
      </c>
      <c r="B3" t="s">
        <v>46</v>
      </c>
    </row>
  </sheetData>
  <pageMargins left="0.511811024" right="0.511811024" top="0.78740157499999996" bottom="0.78740157499999996" header="0.31496062000000002" footer="0.31496062000000002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3"/>
  <dimension ref="A1:F3"/>
  <sheetViews>
    <sheetView workbookViewId="0">
      <pane ySplit="1" topLeftCell="A2" activePane="bottomLeft" state="frozen"/>
      <selection pane="bottomLeft" activeCell="A2" sqref="A2"/>
    </sheetView>
  </sheetViews>
  <sheetFormatPr defaultColWidth="13.28515625" defaultRowHeight="15" x14ac:dyDescent="0.25"/>
  <cols>
    <col min="5" max="5" width="15" bestFit="1" customWidth="1"/>
  </cols>
  <sheetData>
    <row r="1" spans="1:6" s="13" customFormat="1" x14ac:dyDescent="0.25">
      <c r="A1" s="13" t="s">
        <v>37</v>
      </c>
      <c r="B1" s="13" t="s">
        <v>31</v>
      </c>
      <c r="C1" s="13" t="s">
        <v>32</v>
      </c>
      <c r="D1" s="13" t="s">
        <v>33</v>
      </c>
      <c r="E1" s="13" t="s">
        <v>34</v>
      </c>
      <c r="F1" s="13" t="s">
        <v>35</v>
      </c>
    </row>
    <row r="2" spans="1:6" x14ac:dyDescent="0.25">
      <c r="B2" t="s">
        <v>36</v>
      </c>
      <c r="C2" t="s">
        <v>125</v>
      </c>
      <c r="D2" t="s">
        <v>115</v>
      </c>
      <c r="E2" t="s">
        <v>170</v>
      </c>
      <c r="F2" s="19">
        <v>8235.6200000000008</v>
      </c>
    </row>
    <row r="3" spans="1:6" x14ac:dyDescent="0.25">
      <c r="B3" t="s">
        <v>36</v>
      </c>
      <c r="C3" t="s">
        <v>125</v>
      </c>
      <c r="D3" t="s">
        <v>124</v>
      </c>
      <c r="E3" t="s">
        <v>171</v>
      </c>
      <c r="F3" s="19">
        <v>2325.31</v>
      </c>
    </row>
  </sheetData>
  <pageMargins left="0.511811024" right="0.511811024" top="0.78740157499999996" bottom="0.78740157499999996" header="0.31496062000000002" footer="0.31496062000000002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5"/>
  <dimension ref="A1:G6"/>
  <sheetViews>
    <sheetView workbookViewId="0">
      <pane ySplit="1" topLeftCell="A2" activePane="bottomLeft" state="frozen"/>
      <selection pane="bottomLeft" activeCell="F2" sqref="F2"/>
    </sheetView>
  </sheetViews>
  <sheetFormatPr defaultColWidth="9" defaultRowHeight="15" x14ac:dyDescent="0.25"/>
  <cols>
    <col min="1" max="1" width="5" bestFit="1" customWidth="1"/>
    <col min="2" max="2" width="7.5703125" bestFit="1" customWidth="1"/>
    <col min="3" max="3" width="27.5703125" bestFit="1" customWidth="1"/>
    <col min="4" max="4" width="13.85546875" bestFit="1" customWidth="1"/>
    <col min="5" max="5" width="12.7109375" bestFit="1" customWidth="1"/>
    <col min="6" max="6" width="10.28515625" bestFit="1" customWidth="1"/>
    <col min="7" max="7" width="17.85546875" bestFit="1" customWidth="1"/>
  </cols>
  <sheetData>
    <row r="1" spans="1:7" s="13" customFormat="1" x14ac:dyDescent="0.25">
      <c r="A1" s="13" t="s">
        <v>37</v>
      </c>
      <c r="B1" s="13" t="s">
        <v>38</v>
      </c>
      <c r="C1" s="13" t="s">
        <v>39</v>
      </c>
      <c r="D1" s="13" t="s">
        <v>40</v>
      </c>
      <c r="E1" s="13" t="s">
        <v>41</v>
      </c>
      <c r="F1" s="13" t="s">
        <v>42</v>
      </c>
      <c r="G1" s="13" t="s">
        <v>43</v>
      </c>
    </row>
    <row r="2" spans="1:7" x14ac:dyDescent="0.25">
      <c r="B2">
        <v>2014</v>
      </c>
      <c r="C2" t="s">
        <v>153</v>
      </c>
      <c r="D2" s="19">
        <v>499</v>
      </c>
      <c r="E2" s="19">
        <v>500</v>
      </c>
      <c r="F2" s="21">
        <v>0.01</v>
      </c>
      <c r="G2" s="19">
        <v>0</v>
      </c>
    </row>
    <row r="3" spans="1:7" x14ac:dyDescent="0.25">
      <c r="D3" s="19"/>
      <c r="E3" s="19"/>
      <c r="F3" s="19"/>
      <c r="G3" s="19"/>
    </row>
    <row r="4" spans="1:7" x14ac:dyDescent="0.25">
      <c r="D4" s="19"/>
      <c r="E4" s="19"/>
      <c r="F4" s="19"/>
      <c r="G4" s="19"/>
    </row>
    <row r="5" spans="1:7" x14ac:dyDescent="0.25">
      <c r="D5" s="19"/>
      <c r="E5" s="19"/>
      <c r="F5" s="19"/>
      <c r="G5" s="19"/>
    </row>
    <row r="6" spans="1:7" x14ac:dyDescent="0.25">
      <c r="D6" s="19"/>
      <c r="E6" s="19"/>
      <c r="F6" s="19"/>
      <c r="G6" s="19"/>
    </row>
  </sheetData>
  <pageMargins left="0.511811024" right="0.511811024" top="0.78740157499999996" bottom="0.78740157499999996" header="0.31496062000000002" footer="0.31496062000000002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6"/>
  <dimension ref="A1:G6"/>
  <sheetViews>
    <sheetView workbookViewId="0">
      <pane ySplit="1" topLeftCell="A2" activePane="bottomLeft" state="frozen"/>
      <selection pane="bottomLeft" activeCell="F2" sqref="F2:F6"/>
    </sheetView>
  </sheetViews>
  <sheetFormatPr defaultColWidth="9" defaultRowHeight="15" x14ac:dyDescent="0.25"/>
  <cols>
    <col min="1" max="1" width="5" bestFit="1" customWidth="1"/>
    <col min="2" max="2" width="7.5703125" bestFit="1" customWidth="1"/>
    <col min="3" max="3" width="27.5703125" bestFit="1" customWidth="1"/>
    <col min="4" max="4" width="13.85546875" bestFit="1" customWidth="1"/>
    <col min="5" max="5" width="12.7109375" bestFit="1" customWidth="1"/>
    <col min="6" max="6" width="10.28515625" bestFit="1" customWidth="1"/>
    <col min="7" max="7" width="17.85546875" bestFit="1" customWidth="1"/>
  </cols>
  <sheetData>
    <row r="1" spans="1:7" s="13" customFormat="1" x14ac:dyDescent="0.25">
      <c r="A1" s="13" t="s">
        <v>37</v>
      </c>
      <c r="B1" s="13" t="s">
        <v>38</v>
      </c>
      <c r="C1" s="13" t="s">
        <v>39</v>
      </c>
      <c r="D1" s="13" t="s">
        <v>40</v>
      </c>
      <c r="E1" s="13" t="s">
        <v>41</v>
      </c>
      <c r="F1" s="13" t="s">
        <v>42</v>
      </c>
      <c r="G1" s="13" t="s">
        <v>43</v>
      </c>
    </row>
    <row r="2" spans="1:7" x14ac:dyDescent="0.25">
      <c r="A2">
        <v>1449</v>
      </c>
      <c r="B2" t="s">
        <v>44</v>
      </c>
      <c r="C2" t="s">
        <v>148</v>
      </c>
      <c r="D2" s="19">
        <v>0</v>
      </c>
      <c r="E2" s="19">
        <v>1787.77</v>
      </c>
      <c r="F2" s="20">
        <v>0</v>
      </c>
      <c r="G2" s="19">
        <v>0</v>
      </c>
    </row>
    <row r="3" spans="1:7" x14ac:dyDescent="0.25">
      <c r="A3">
        <v>1450</v>
      </c>
      <c r="B3" t="s">
        <v>44</v>
      </c>
      <c r="C3" t="s">
        <v>149</v>
      </c>
      <c r="D3" s="19">
        <v>1787.78</v>
      </c>
      <c r="E3" s="19">
        <v>2679.29</v>
      </c>
      <c r="F3" s="20">
        <v>7.5</v>
      </c>
      <c r="G3" s="19">
        <v>134.08000000000001</v>
      </c>
    </row>
    <row r="4" spans="1:7" x14ac:dyDescent="0.25">
      <c r="A4">
        <v>1451</v>
      </c>
      <c r="B4" t="s">
        <v>44</v>
      </c>
      <c r="C4" t="s">
        <v>150</v>
      </c>
      <c r="D4" s="19">
        <v>2679.3</v>
      </c>
      <c r="E4" s="19">
        <v>3572.43</v>
      </c>
      <c r="F4" s="20">
        <v>15</v>
      </c>
      <c r="G4" s="19">
        <v>335.03</v>
      </c>
    </row>
    <row r="5" spans="1:7" x14ac:dyDescent="0.25">
      <c r="A5">
        <v>1452</v>
      </c>
      <c r="B5" t="s">
        <v>44</v>
      </c>
      <c r="C5" t="s">
        <v>151</v>
      </c>
      <c r="D5" s="19">
        <v>3572.44</v>
      </c>
      <c r="E5" s="19">
        <v>4463.8100000000004</v>
      </c>
      <c r="F5" s="20">
        <v>22.5</v>
      </c>
      <c r="G5" s="19">
        <v>602.96</v>
      </c>
    </row>
    <row r="6" spans="1:7" x14ac:dyDescent="0.25">
      <c r="A6">
        <v>1453</v>
      </c>
      <c r="B6" t="s">
        <v>44</v>
      </c>
      <c r="C6" t="s">
        <v>152</v>
      </c>
      <c r="D6" s="19">
        <v>4463.82</v>
      </c>
      <c r="E6" s="19">
        <v>100000</v>
      </c>
      <c r="F6" s="20">
        <v>27.5</v>
      </c>
      <c r="G6" s="19">
        <v>826.15</v>
      </c>
    </row>
  </sheetData>
  <pageMargins left="0.511811024" right="0.511811024" top="0.78740157499999996" bottom="0.78740157499999996" header="0.31496062000000002" footer="0.31496062000000002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9"/>
  <dimension ref="A1:E23"/>
  <sheetViews>
    <sheetView workbookViewId="0">
      <pane ySplit="1" topLeftCell="A2" activePane="bottomLeft" state="frozen"/>
      <selection pane="bottomLeft" activeCell="A2" sqref="A2"/>
    </sheetView>
  </sheetViews>
  <sheetFormatPr defaultColWidth="13.28515625" defaultRowHeight="15" x14ac:dyDescent="0.25"/>
  <cols>
    <col min="2" max="2" width="32.42578125" bestFit="1" customWidth="1"/>
    <col min="3" max="3" width="9.140625" bestFit="1" customWidth="1"/>
    <col min="4" max="4" width="8.7109375" bestFit="1" customWidth="1"/>
    <col min="5" max="5" width="12" bestFit="1" customWidth="1"/>
  </cols>
  <sheetData>
    <row r="1" spans="1:5" s="13" customFormat="1" x14ac:dyDescent="0.25">
      <c r="A1" s="13" t="s">
        <v>37</v>
      </c>
      <c r="B1" s="13" t="s">
        <v>110</v>
      </c>
      <c r="C1" s="13" t="s">
        <v>111</v>
      </c>
      <c r="D1" s="13" t="s">
        <v>112</v>
      </c>
      <c r="E1" s="13" t="s">
        <v>51</v>
      </c>
    </row>
    <row r="2" spans="1:5" x14ac:dyDescent="0.25">
      <c r="A2">
        <v>1517</v>
      </c>
      <c r="B2" t="s">
        <v>127</v>
      </c>
      <c r="C2" s="19">
        <v>0.4</v>
      </c>
      <c r="D2" s="19">
        <v>0.3</v>
      </c>
      <c r="E2" t="s">
        <v>47</v>
      </c>
    </row>
    <row r="3" spans="1:5" x14ac:dyDescent="0.25">
      <c r="A3">
        <v>1518</v>
      </c>
      <c r="B3" t="s">
        <v>128</v>
      </c>
      <c r="C3" s="19">
        <v>0.35</v>
      </c>
      <c r="D3" s="19">
        <v>0.25</v>
      </c>
    </row>
    <row r="4" spans="1:5" x14ac:dyDescent="0.25">
      <c r="A4">
        <v>1519</v>
      </c>
      <c r="B4" t="s">
        <v>129</v>
      </c>
      <c r="C4" s="19">
        <v>0.6</v>
      </c>
      <c r="D4" s="19">
        <v>0.5</v>
      </c>
      <c r="E4" t="s">
        <v>46</v>
      </c>
    </row>
    <row r="5" spans="1:5" x14ac:dyDescent="0.25">
      <c r="A5">
        <v>1520</v>
      </c>
      <c r="B5" t="s">
        <v>130</v>
      </c>
      <c r="C5" s="19">
        <v>0.35</v>
      </c>
      <c r="D5" s="19">
        <v>0.25</v>
      </c>
      <c r="E5" t="s">
        <v>46</v>
      </c>
    </row>
    <row r="6" spans="1:5" x14ac:dyDescent="0.25">
      <c r="A6">
        <v>1521</v>
      </c>
      <c r="B6" t="s">
        <v>131</v>
      </c>
      <c r="C6" s="19">
        <v>0.45</v>
      </c>
      <c r="D6" s="19">
        <v>0.35</v>
      </c>
      <c r="E6" t="s">
        <v>46</v>
      </c>
    </row>
    <row r="7" spans="1:5" x14ac:dyDescent="0.25">
      <c r="A7">
        <v>1522</v>
      </c>
      <c r="B7" t="s">
        <v>132</v>
      </c>
      <c r="C7" s="19">
        <v>0.65</v>
      </c>
      <c r="D7" s="19">
        <v>0.55000000000000004</v>
      </c>
      <c r="E7" t="s">
        <v>46</v>
      </c>
    </row>
    <row r="8" spans="1:5" x14ac:dyDescent="0.25">
      <c r="A8">
        <v>1523</v>
      </c>
      <c r="B8" t="s">
        <v>133</v>
      </c>
      <c r="C8" s="19">
        <v>0.35</v>
      </c>
      <c r="D8" s="19">
        <v>0.25</v>
      </c>
      <c r="E8" t="s">
        <v>46</v>
      </c>
    </row>
    <row r="9" spans="1:5" x14ac:dyDescent="0.25">
      <c r="A9">
        <v>1524</v>
      </c>
      <c r="B9" t="s">
        <v>134</v>
      </c>
      <c r="C9" s="19">
        <v>0.45</v>
      </c>
      <c r="D9" s="19">
        <v>0.35</v>
      </c>
      <c r="E9" t="s">
        <v>46</v>
      </c>
    </row>
    <row r="10" spans="1:5" x14ac:dyDescent="0.25">
      <c r="A10">
        <v>1525</v>
      </c>
      <c r="B10" t="s">
        <v>135</v>
      </c>
      <c r="C10" s="19">
        <v>0.35</v>
      </c>
      <c r="D10" s="19">
        <v>0.35</v>
      </c>
      <c r="E10" t="s">
        <v>46</v>
      </c>
    </row>
    <row r="11" spans="1:5" x14ac:dyDescent="0.25">
      <c r="A11">
        <v>1526</v>
      </c>
      <c r="B11" t="s">
        <v>136</v>
      </c>
      <c r="C11" s="19">
        <v>0.65</v>
      </c>
      <c r="D11" s="19">
        <v>0.4</v>
      </c>
      <c r="E11" t="s">
        <v>46</v>
      </c>
    </row>
    <row r="12" spans="1:5" x14ac:dyDescent="0.25">
      <c r="A12">
        <v>1527</v>
      </c>
      <c r="B12" t="s">
        <v>137</v>
      </c>
      <c r="C12" s="19">
        <v>0.35</v>
      </c>
      <c r="D12" s="19">
        <v>0.25</v>
      </c>
    </row>
    <row r="13" spans="1:5" x14ac:dyDescent="0.25">
      <c r="A13">
        <v>1528</v>
      </c>
      <c r="B13" t="s">
        <v>138</v>
      </c>
      <c r="C13" s="19">
        <v>0.3</v>
      </c>
      <c r="D13" s="19">
        <v>0.2</v>
      </c>
      <c r="E13" t="s">
        <v>46</v>
      </c>
    </row>
    <row r="14" spans="1:5" x14ac:dyDescent="0.25">
      <c r="A14">
        <v>1529</v>
      </c>
      <c r="B14" t="s">
        <v>139</v>
      </c>
      <c r="C14" s="19">
        <v>0.65</v>
      </c>
      <c r="D14" s="19">
        <v>0.55000000000000004</v>
      </c>
      <c r="E14" t="s">
        <v>47</v>
      </c>
    </row>
    <row r="15" spans="1:5" x14ac:dyDescent="0.25">
      <c r="A15">
        <v>1530</v>
      </c>
      <c r="B15" t="s">
        <v>140</v>
      </c>
      <c r="C15" s="19">
        <v>0.35</v>
      </c>
      <c r="D15" s="19">
        <v>0.25</v>
      </c>
    </row>
    <row r="16" spans="1:5" x14ac:dyDescent="0.25">
      <c r="A16">
        <v>1531</v>
      </c>
      <c r="B16" t="s">
        <v>141</v>
      </c>
      <c r="C16" s="19">
        <v>0.44</v>
      </c>
      <c r="D16" s="19">
        <v>0.33</v>
      </c>
    </row>
    <row r="17" spans="1:5" x14ac:dyDescent="0.25">
      <c r="A17">
        <v>1532</v>
      </c>
      <c r="B17" t="s">
        <v>142</v>
      </c>
      <c r="C17" s="19">
        <v>0.5</v>
      </c>
      <c r="D17" s="19">
        <v>0.4</v>
      </c>
    </row>
    <row r="18" spans="1:5" x14ac:dyDescent="0.25">
      <c r="A18">
        <v>1533</v>
      </c>
      <c r="B18" t="s">
        <v>143</v>
      </c>
      <c r="C18" s="19">
        <v>0.4</v>
      </c>
      <c r="D18" s="19">
        <v>0.3</v>
      </c>
      <c r="E18" t="s">
        <v>46</v>
      </c>
    </row>
    <row r="19" spans="1:5" x14ac:dyDescent="0.25">
      <c r="A19">
        <v>1534</v>
      </c>
      <c r="B19" t="s">
        <v>144</v>
      </c>
      <c r="C19" s="19">
        <v>0.6</v>
      </c>
      <c r="D19" s="19">
        <v>0.5</v>
      </c>
      <c r="E19" t="s">
        <v>47</v>
      </c>
    </row>
    <row r="20" spans="1:5" x14ac:dyDescent="0.25">
      <c r="A20">
        <v>1535</v>
      </c>
      <c r="B20" t="s">
        <v>145</v>
      </c>
      <c r="C20" s="19">
        <v>0.65</v>
      </c>
      <c r="D20" s="19">
        <v>0.55000000000000004</v>
      </c>
      <c r="E20" t="s">
        <v>46</v>
      </c>
    </row>
    <row r="21" spans="1:5" x14ac:dyDescent="0.25">
      <c r="A21">
        <v>1536</v>
      </c>
      <c r="B21" t="s">
        <v>146</v>
      </c>
      <c r="C21" s="19">
        <v>0.6</v>
      </c>
      <c r="D21" s="19">
        <v>0.5</v>
      </c>
      <c r="E21" t="s">
        <v>47</v>
      </c>
    </row>
    <row r="22" spans="1:5" x14ac:dyDescent="0.25">
      <c r="A22">
        <v>1537</v>
      </c>
      <c r="B22" t="s">
        <v>147</v>
      </c>
      <c r="C22" s="19">
        <v>0.65</v>
      </c>
      <c r="D22" s="19">
        <v>0.55000000000000004</v>
      </c>
      <c r="E22" t="s">
        <v>46</v>
      </c>
    </row>
    <row r="23" spans="1:5" x14ac:dyDescent="0.25">
      <c r="C23" s="19"/>
      <c r="D23" s="19"/>
    </row>
  </sheetData>
  <pageMargins left="0.511811024" right="0.511811024" top="0.78740157499999996" bottom="0.78740157499999996" header="0.31496062000000002" footer="0.31496062000000002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10"/>
  <dimension ref="A1:B10"/>
  <sheetViews>
    <sheetView workbookViewId="0">
      <pane ySplit="1" topLeftCell="A2" activePane="bottomLeft" state="frozen"/>
      <selection pane="bottomLeft" activeCell="B5" sqref="B5"/>
    </sheetView>
  </sheetViews>
  <sheetFormatPr defaultColWidth="13.28515625" defaultRowHeight="15" x14ac:dyDescent="0.25"/>
  <cols>
    <col min="2" max="2" width="16.7109375" bestFit="1" customWidth="1"/>
  </cols>
  <sheetData>
    <row r="1" spans="1:2" s="13" customFormat="1" x14ac:dyDescent="0.25">
      <c r="A1" s="13" t="s">
        <v>37</v>
      </c>
      <c r="B1" s="13" t="s">
        <v>113</v>
      </c>
    </row>
    <row r="2" spans="1:2" x14ac:dyDescent="0.25">
      <c r="A2">
        <v>1512</v>
      </c>
      <c r="B2" t="s">
        <v>117</v>
      </c>
    </row>
    <row r="3" spans="1:2" x14ac:dyDescent="0.25">
      <c r="A3">
        <v>1511</v>
      </c>
      <c r="B3" t="s">
        <v>118</v>
      </c>
    </row>
    <row r="4" spans="1:2" x14ac:dyDescent="0.25">
      <c r="A4">
        <v>1515</v>
      </c>
      <c r="B4" t="s">
        <v>121</v>
      </c>
    </row>
    <row r="5" spans="1:2" x14ac:dyDescent="0.25">
      <c r="A5">
        <v>1514</v>
      </c>
      <c r="B5" t="s">
        <v>123</v>
      </c>
    </row>
    <row r="6" spans="1:2" x14ac:dyDescent="0.25">
      <c r="A6">
        <v>1446</v>
      </c>
      <c r="B6" t="s">
        <v>114</v>
      </c>
    </row>
    <row r="7" spans="1:2" x14ac:dyDescent="0.25">
      <c r="A7">
        <v>1513</v>
      </c>
      <c r="B7" t="s">
        <v>120</v>
      </c>
    </row>
    <row r="8" spans="1:2" x14ac:dyDescent="0.25">
      <c r="A8">
        <v>1447</v>
      </c>
      <c r="B8" t="s">
        <v>115</v>
      </c>
    </row>
    <row r="9" spans="1:2" x14ac:dyDescent="0.25">
      <c r="A9">
        <v>1510</v>
      </c>
      <c r="B9" t="s">
        <v>119</v>
      </c>
    </row>
    <row r="10" spans="1:2" x14ac:dyDescent="0.25">
      <c r="A10">
        <v>1516</v>
      </c>
      <c r="B10" t="s">
        <v>122</v>
      </c>
    </row>
  </sheetData>
  <pageMargins left="0.511811024" right="0.511811024" top="0.78740157499999996" bottom="0.78740157499999996" header="0.31496062000000002" footer="0.31496062000000002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12"/>
  <dimension ref="A1:N1"/>
  <sheetViews>
    <sheetView zoomScale="85" zoomScaleNormal="85" workbookViewId="0">
      <pane ySplit="1" topLeftCell="A2" activePane="bottomLeft" state="frozen"/>
      <selection pane="bottomLeft" activeCell="A2" sqref="A2"/>
    </sheetView>
  </sheetViews>
  <sheetFormatPr defaultColWidth="13.28515625" defaultRowHeight="15" x14ac:dyDescent="0.25"/>
  <cols>
    <col min="4" max="4" width="16.7109375" bestFit="1" customWidth="1"/>
    <col min="10" max="10" width="19.7109375" bestFit="1" customWidth="1"/>
  </cols>
  <sheetData>
    <row r="1" spans="1:14" s="13" customFormat="1" x14ac:dyDescent="0.25">
      <c r="A1" s="22" t="s">
        <v>167</v>
      </c>
      <c r="B1" s="22" t="s">
        <v>154</v>
      </c>
      <c r="C1" s="13" t="s">
        <v>155</v>
      </c>
      <c r="D1" s="13" t="s">
        <v>156</v>
      </c>
      <c r="E1" s="13" t="s">
        <v>157</v>
      </c>
      <c r="F1" s="13" t="s">
        <v>158</v>
      </c>
      <c r="G1" s="13" t="s">
        <v>159</v>
      </c>
      <c r="H1" s="13" t="s">
        <v>160</v>
      </c>
      <c r="I1" s="13" t="s">
        <v>161</v>
      </c>
      <c r="J1" s="23" t="s">
        <v>162</v>
      </c>
      <c r="K1" s="23" t="s">
        <v>163</v>
      </c>
      <c r="L1" s="23" t="s">
        <v>164</v>
      </c>
      <c r="M1" s="23" t="s">
        <v>165</v>
      </c>
      <c r="N1" s="23" t="s">
        <v>166</v>
      </c>
    </row>
  </sheetData>
  <pageMargins left="0.511811024" right="0.511811024" top="0.78740157499999996" bottom="0.78740157499999996" header="0.31496062000000002" footer="0.31496062000000002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13"/>
  <dimension ref="A1:E4"/>
  <sheetViews>
    <sheetView workbookViewId="0">
      <pane ySplit="1" topLeftCell="A2" activePane="bottomLeft" state="frozen"/>
      <selection pane="bottomLeft" activeCell="E1" sqref="E1"/>
    </sheetView>
  </sheetViews>
  <sheetFormatPr defaultColWidth="13.28515625" defaultRowHeight="15" x14ac:dyDescent="0.25"/>
  <cols>
    <col min="4" max="4" width="17.5703125" bestFit="1" customWidth="1"/>
    <col min="5" max="5" width="17" customWidth="1"/>
  </cols>
  <sheetData>
    <row r="1" spans="1:5" s="13" customFormat="1" ht="30" x14ac:dyDescent="0.25">
      <c r="A1" s="13" t="s">
        <v>172</v>
      </c>
      <c r="B1" s="13" t="s">
        <v>168</v>
      </c>
      <c r="C1" s="13" t="s">
        <v>169</v>
      </c>
      <c r="D1" s="24" t="s">
        <v>174</v>
      </c>
      <c r="E1" s="24" t="s">
        <v>173</v>
      </c>
    </row>
    <row r="2" spans="1:5" x14ac:dyDescent="0.25">
      <c r="A2" t="s">
        <v>175</v>
      </c>
      <c r="B2" t="s">
        <v>178</v>
      </c>
      <c r="C2" s="25">
        <v>12000</v>
      </c>
      <c r="D2">
        <v>1.24</v>
      </c>
      <c r="E2">
        <v>14880</v>
      </c>
    </row>
    <row r="3" spans="1:5" x14ac:dyDescent="0.25">
      <c r="A3" t="s">
        <v>176</v>
      </c>
      <c r="B3" t="s">
        <v>179</v>
      </c>
      <c r="C3" s="25">
        <v>25300</v>
      </c>
      <c r="D3">
        <v>3</v>
      </c>
      <c r="E3">
        <v>75900</v>
      </c>
    </row>
    <row r="4" spans="1:5" x14ac:dyDescent="0.25">
      <c r="A4" t="s">
        <v>177</v>
      </c>
      <c r="B4" t="s">
        <v>180</v>
      </c>
      <c r="C4" s="25">
        <v>89000</v>
      </c>
      <c r="D4">
        <v>2</v>
      </c>
      <c r="E4">
        <v>178000</v>
      </c>
    </row>
  </sheetData>
  <pageMargins left="0.511811024" right="0.511811024" top="0.78740157499999996" bottom="0.78740157499999996" header="0.31496062000000002" footer="0.31496062000000002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7">
    <pageSetUpPr fitToPage="1"/>
  </sheetPr>
  <dimension ref="A1:D49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9.140625" style="1"/>
    <col min="2" max="2" width="28.140625" bestFit="1" customWidth="1"/>
    <col min="3" max="3" width="86.7109375" bestFit="1" customWidth="1"/>
    <col min="4" max="4" width="10.7109375" style="15" bestFit="1" customWidth="1"/>
  </cols>
  <sheetData>
    <row r="1" spans="1:4" s="12" customFormat="1" x14ac:dyDescent="0.25">
      <c r="A1" s="13" t="s">
        <v>52</v>
      </c>
      <c r="B1" s="12" t="s">
        <v>53</v>
      </c>
      <c r="C1" s="12" t="s">
        <v>54</v>
      </c>
      <c r="D1" s="14" t="s">
        <v>106</v>
      </c>
    </row>
    <row r="3" spans="1:4" s="17" customFormat="1" x14ac:dyDescent="0.25">
      <c r="A3" s="16" t="s">
        <v>55</v>
      </c>
      <c r="B3" s="17" t="s">
        <v>51</v>
      </c>
      <c r="C3" s="17" t="s">
        <v>96</v>
      </c>
      <c r="D3" s="18"/>
    </row>
    <row r="4" spans="1:4" s="17" customFormat="1" x14ac:dyDescent="0.25">
      <c r="A4" s="16" t="s">
        <v>55</v>
      </c>
      <c r="B4" s="17" t="s">
        <v>97</v>
      </c>
      <c r="C4" s="17" t="s">
        <v>98</v>
      </c>
      <c r="D4" s="18"/>
    </row>
    <row r="5" spans="1:4" s="17" customFormat="1" x14ac:dyDescent="0.25">
      <c r="A5" s="16" t="s">
        <v>55</v>
      </c>
      <c r="B5" s="17" t="s">
        <v>88</v>
      </c>
      <c r="C5" s="17" t="s">
        <v>90</v>
      </c>
      <c r="D5" s="18"/>
    </row>
    <row r="6" spans="1:4" s="17" customFormat="1" x14ac:dyDescent="0.25">
      <c r="A6" s="16" t="s">
        <v>55</v>
      </c>
      <c r="B6" s="17" t="s">
        <v>99</v>
      </c>
      <c r="C6" s="17" t="s">
        <v>100</v>
      </c>
      <c r="D6" s="18"/>
    </row>
    <row r="7" spans="1:4" s="17" customFormat="1" x14ac:dyDescent="0.25">
      <c r="A7" s="16" t="s">
        <v>55</v>
      </c>
      <c r="B7" s="17" t="s">
        <v>87</v>
      </c>
      <c r="C7" s="17" t="s">
        <v>89</v>
      </c>
      <c r="D7" s="18"/>
    </row>
    <row r="8" spans="1:4" s="17" customFormat="1" x14ac:dyDescent="0.25">
      <c r="A8" s="16" t="s">
        <v>55</v>
      </c>
      <c r="B8" s="17" t="s">
        <v>109</v>
      </c>
      <c r="C8" s="17" t="s">
        <v>108</v>
      </c>
      <c r="D8" s="18"/>
    </row>
    <row r="9" spans="1:4" s="17" customFormat="1" x14ac:dyDescent="0.25">
      <c r="A9" s="16" t="s">
        <v>55</v>
      </c>
      <c r="B9" s="17" t="s">
        <v>94</v>
      </c>
      <c r="C9" s="17" t="s">
        <v>95</v>
      </c>
      <c r="D9" s="18"/>
    </row>
    <row r="11" spans="1:4" s="17" customFormat="1" x14ac:dyDescent="0.25">
      <c r="A11" s="16" t="s">
        <v>55</v>
      </c>
      <c r="B11" s="17" t="s">
        <v>86</v>
      </c>
      <c r="C11" s="17" t="s">
        <v>91</v>
      </c>
      <c r="D11" s="18"/>
    </row>
    <row r="12" spans="1:4" s="17" customFormat="1" x14ac:dyDescent="0.25">
      <c r="A12" s="16" t="s">
        <v>55</v>
      </c>
      <c r="B12" s="17" t="s">
        <v>92</v>
      </c>
      <c r="C12" s="17" t="s">
        <v>93</v>
      </c>
      <c r="D12" s="18"/>
    </row>
    <row r="13" spans="1:4" s="17" customFormat="1" x14ac:dyDescent="0.25">
      <c r="A13" s="16" t="s">
        <v>55</v>
      </c>
      <c r="B13" s="17" t="s">
        <v>102</v>
      </c>
      <c r="C13" s="17" t="s">
        <v>103</v>
      </c>
      <c r="D13" s="18"/>
    </row>
    <row r="14" spans="1:4" s="17" customFormat="1" x14ac:dyDescent="0.25">
      <c r="A14" s="16" t="s">
        <v>55</v>
      </c>
      <c r="B14" s="17" t="s">
        <v>104</v>
      </c>
      <c r="C14" s="17" t="s">
        <v>105</v>
      </c>
      <c r="D14" s="18"/>
    </row>
    <row r="15" spans="1:4" s="17" customFormat="1" x14ac:dyDescent="0.25">
      <c r="A15" s="16" t="s">
        <v>55</v>
      </c>
      <c r="B15" s="17" t="s">
        <v>85</v>
      </c>
      <c r="C15" s="17" t="s">
        <v>101</v>
      </c>
      <c r="D15" s="18"/>
    </row>
    <row r="17" spans="1:4" x14ac:dyDescent="0.25">
      <c r="A17" s="1" t="s">
        <v>55</v>
      </c>
      <c r="B17" t="s">
        <v>59</v>
      </c>
      <c r="C17" t="s">
        <v>61</v>
      </c>
      <c r="D17" s="15" t="s">
        <v>107</v>
      </c>
    </row>
    <row r="18" spans="1:4" x14ac:dyDescent="0.25">
      <c r="A18" s="1" t="s">
        <v>55</v>
      </c>
      <c r="B18" t="s">
        <v>59</v>
      </c>
      <c r="C18" t="s">
        <v>60</v>
      </c>
      <c r="D18" s="15" t="s">
        <v>107</v>
      </c>
    </row>
    <row r="19" spans="1:4" x14ac:dyDescent="0.25">
      <c r="A19" s="1" t="s">
        <v>55</v>
      </c>
      <c r="B19" t="s">
        <v>59</v>
      </c>
      <c r="C19" t="s">
        <v>62</v>
      </c>
      <c r="D19" s="15" t="s">
        <v>107</v>
      </c>
    </row>
    <row r="20" spans="1:4" x14ac:dyDescent="0.25">
      <c r="A20" s="1" t="s">
        <v>55</v>
      </c>
      <c r="B20" t="s">
        <v>59</v>
      </c>
      <c r="C20" t="s">
        <v>63</v>
      </c>
      <c r="D20" s="15" t="s">
        <v>107</v>
      </c>
    </row>
    <row r="21" spans="1:4" x14ac:dyDescent="0.25">
      <c r="A21" s="1" t="s">
        <v>55</v>
      </c>
      <c r="B21" t="s">
        <v>59</v>
      </c>
      <c r="C21" t="s">
        <v>64</v>
      </c>
      <c r="D21" s="15" t="s">
        <v>107</v>
      </c>
    </row>
    <row r="22" spans="1:4" x14ac:dyDescent="0.25">
      <c r="A22" s="1" t="s">
        <v>55</v>
      </c>
      <c r="B22" t="s">
        <v>59</v>
      </c>
      <c r="C22" t="s">
        <v>65</v>
      </c>
      <c r="D22" s="15" t="s">
        <v>107</v>
      </c>
    </row>
    <row r="23" spans="1:4" x14ac:dyDescent="0.25">
      <c r="A23" s="1" t="s">
        <v>55</v>
      </c>
      <c r="B23" t="s">
        <v>59</v>
      </c>
      <c r="C23" t="s">
        <v>66</v>
      </c>
      <c r="D23" s="15" t="s">
        <v>107</v>
      </c>
    </row>
    <row r="24" spans="1:4" x14ac:dyDescent="0.25">
      <c r="A24" s="1" t="s">
        <v>55</v>
      </c>
      <c r="B24" t="s">
        <v>59</v>
      </c>
      <c r="C24" t="s">
        <v>67</v>
      </c>
      <c r="D24" s="15" t="s">
        <v>107</v>
      </c>
    </row>
    <row r="25" spans="1:4" x14ac:dyDescent="0.25">
      <c r="A25" s="1" t="s">
        <v>55</v>
      </c>
      <c r="B25" t="s">
        <v>59</v>
      </c>
      <c r="C25" t="s">
        <v>68</v>
      </c>
      <c r="D25" s="15" t="s">
        <v>107</v>
      </c>
    </row>
    <row r="26" spans="1:4" x14ac:dyDescent="0.25">
      <c r="A26" s="1" t="s">
        <v>55</v>
      </c>
      <c r="B26" t="s">
        <v>59</v>
      </c>
      <c r="C26" t="s">
        <v>69</v>
      </c>
      <c r="D26" s="15" t="s">
        <v>107</v>
      </c>
    </row>
    <row r="27" spans="1:4" x14ac:dyDescent="0.25">
      <c r="A27" s="1" t="s">
        <v>55</v>
      </c>
      <c r="B27" t="s">
        <v>59</v>
      </c>
      <c r="C27" t="s">
        <v>70</v>
      </c>
      <c r="D27" s="15" t="s">
        <v>107</v>
      </c>
    </row>
    <row r="28" spans="1:4" x14ac:dyDescent="0.25">
      <c r="A28" s="1" t="s">
        <v>55</v>
      </c>
      <c r="B28" t="s">
        <v>59</v>
      </c>
      <c r="C28" t="s">
        <v>72</v>
      </c>
      <c r="D28" s="15" t="s">
        <v>107</v>
      </c>
    </row>
    <row r="29" spans="1:4" x14ac:dyDescent="0.25">
      <c r="A29" s="1" t="s">
        <v>55</v>
      </c>
      <c r="B29" t="s">
        <v>59</v>
      </c>
      <c r="C29" t="s">
        <v>71</v>
      </c>
      <c r="D29" s="15" t="s">
        <v>107</v>
      </c>
    </row>
    <row r="30" spans="1:4" x14ac:dyDescent="0.25">
      <c r="A30" s="1" t="s">
        <v>55</v>
      </c>
      <c r="B30" t="s">
        <v>59</v>
      </c>
      <c r="C30" t="s">
        <v>73</v>
      </c>
      <c r="D30" s="15" t="s">
        <v>107</v>
      </c>
    </row>
    <row r="31" spans="1:4" x14ac:dyDescent="0.25">
      <c r="A31" s="1" t="s">
        <v>55</v>
      </c>
      <c r="B31" t="s">
        <v>59</v>
      </c>
      <c r="C31" t="s">
        <v>74</v>
      </c>
      <c r="D31" s="15" t="s">
        <v>107</v>
      </c>
    </row>
    <row r="33" spans="1:4" x14ac:dyDescent="0.25">
      <c r="A33" s="1" t="s">
        <v>55</v>
      </c>
      <c r="B33" t="s">
        <v>56</v>
      </c>
      <c r="C33" t="s">
        <v>67</v>
      </c>
      <c r="D33" s="15" t="s">
        <v>107</v>
      </c>
    </row>
    <row r="34" spans="1:4" x14ac:dyDescent="0.25">
      <c r="A34" s="1" t="s">
        <v>55</v>
      </c>
      <c r="B34" t="s">
        <v>56</v>
      </c>
      <c r="C34" t="s">
        <v>68</v>
      </c>
      <c r="D34" s="15" t="s">
        <v>107</v>
      </c>
    </row>
    <row r="35" spans="1:4" x14ac:dyDescent="0.25">
      <c r="A35" s="1" t="s">
        <v>55</v>
      </c>
      <c r="B35" t="s">
        <v>56</v>
      </c>
      <c r="C35" t="s">
        <v>69</v>
      </c>
      <c r="D35" s="15" t="s">
        <v>107</v>
      </c>
    </row>
    <row r="36" spans="1:4" x14ac:dyDescent="0.25">
      <c r="A36" s="1" t="s">
        <v>55</v>
      </c>
      <c r="B36" t="s">
        <v>56</v>
      </c>
      <c r="C36" t="s">
        <v>70</v>
      </c>
      <c r="D36" s="15" t="s">
        <v>107</v>
      </c>
    </row>
    <row r="37" spans="1:4" x14ac:dyDescent="0.25">
      <c r="A37" s="1" t="s">
        <v>55</v>
      </c>
      <c r="B37" t="s">
        <v>56</v>
      </c>
      <c r="C37" t="s">
        <v>72</v>
      </c>
      <c r="D37" s="15" t="s">
        <v>107</v>
      </c>
    </row>
    <row r="38" spans="1:4" x14ac:dyDescent="0.25">
      <c r="A38" s="1" t="s">
        <v>55</v>
      </c>
      <c r="B38" t="s">
        <v>56</v>
      </c>
      <c r="C38" t="s">
        <v>71</v>
      </c>
      <c r="D38" s="15" t="s">
        <v>107</v>
      </c>
    </row>
    <row r="40" spans="1:4" x14ac:dyDescent="0.25">
      <c r="A40" s="1" t="s">
        <v>55</v>
      </c>
      <c r="B40" t="s">
        <v>57</v>
      </c>
      <c r="C40" t="s">
        <v>58</v>
      </c>
      <c r="D40" s="15" t="s">
        <v>107</v>
      </c>
    </row>
    <row r="41" spans="1:4" x14ac:dyDescent="0.25">
      <c r="A41" s="1" t="s">
        <v>55</v>
      </c>
      <c r="B41" t="s">
        <v>57</v>
      </c>
      <c r="C41" t="s">
        <v>79</v>
      </c>
      <c r="D41" s="15" t="s">
        <v>107</v>
      </c>
    </row>
    <row r="42" spans="1:4" x14ac:dyDescent="0.25">
      <c r="A42" s="1" t="s">
        <v>55</v>
      </c>
      <c r="B42" t="s">
        <v>57</v>
      </c>
      <c r="C42" t="s">
        <v>80</v>
      </c>
      <c r="D42" s="15" t="s">
        <v>107</v>
      </c>
    </row>
    <row r="44" spans="1:4" x14ac:dyDescent="0.25">
      <c r="A44" s="1" t="s">
        <v>55</v>
      </c>
      <c r="B44" t="s">
        <v>81</v>
      </c>
      <c r="C44" t="s">
        <v>84</v>
      </c>
      <c r="D44" s="15" t="s">
        <v>107</v>
      </c>
    </row>
    <row r="45" spans="1:4" x14ac:dyDescent="0.25">
      <c r="A45" s="1" t="s">
        <v>55</v>
      </c>
      <c r="B45" t="s">
        <v>81</v>
      </c>
      <c r="C45" t="s">
        <v>83</v>
      </c>
      <c r="D45" s="15" t="s">
        <v>107</v>
      </c>
    </row>
    <row r="46" spans="1:4" x14ac:dyDescent="0.25">
      <c r="A46" s="1" t="s">
        <v>55</v>
      </c>
      <c r="B46" t="s">
        <v>81</v>
      </c>
      <c r="C46" t="s">
        <v>82</v>
      </c>
      <c r="D46" s="15" t="s">
        <v>107</v>
      </c>
    </row>
    <row r="48" spans="1:4" x14ac:dyDescent="0.25">
      <c r="A48" s="1" t="s">
        <v>55</v>
      </c>
      <c r="B48" t="s">
        <v>75</v>
      </c>
      <c r="C48" t="s">
        <v>76</v>
      </c>
      <c r="D48" s="15" t="s">
        <v>107</v>
      </c>
    </row>
    <row r="49" spans="1:4" x14ac:dyDescent="0.25">
      <c r="A49" s="1" t="s">
        <v>55</v>
      </c>
      <c r="B49" t="s">
        <v>77</v>
      </c>
      <c r="C49" t="s">
        <v>78</v>
      </c>
      <c r="D49" s="15" t="s">
        <v>107</v>
      </c>
    </row>
  </sheetData>
  <pageMargins left="0.51181102362204722" right="0.51181102362204722" top="0.78740157480314965" bottom="0.78740157480314965" header="0.31496062992125984" footer="0.31496062992125984"/>
  <pageSetup scale="75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BANCOS</vt:lpstr>
      <vt:lpstr>Plan1</vt:lpstr>
      <vt:lpstr>Apoio</vt:lpstr>
      <vt:lpstr>CUSTOS_PRODUCAO</vt:lpstr>
      <vt:lpstr>ESTILOS</vt:lpstr>
      <vt:lpstr>GRANDS</vt:lpstr>
      <vt:lpstr>IR</vt:lpstr>
      <vt:lpstr>IR (2)</vt:lpstr>
      <vt:lpstr>LINHAS</vt:lpstr>
      <vt:lpstr>PROFISSOES</vt:lpstr>
      <vt:lpstr>PROPOSTAS</vt:lpstr>
      <vt:lpstr>PROJETOS</vt:lpstr>
      <vt:lpstr>VER.3.0</vt:lpstr>
      <vt:lpstr>VER.3.0!Print_Area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AILTON</dc:creator>
  <cp:lastModifiedBy>Ailton Z. da Silva</cp:lastModifiedBy>
  <cp:lastPrinted>2014-08-01T13:53:41Z</cp:lastPrinted>
  <dcterms:created xsi:type="dcterms:W3CDTF">2014-07-13T01:40:15Z</dcterms:created>
  <dcterms:modified xsi:type="dcterms:W3CDTF">2019-12-26T23:11:14Z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36020b0-6d69-48c1-9bb5-c586c1062b70_Enabled">
    <vt:lpwstr>True</vt:lpwstr>
  </property>
  <property fmtid="{D5CDD505-2E9C-101B-9397-08002B2CF9AE}" pid="3" name="MSIP_Label_236020b0-6d69-48c1-9bb5-c586c1062b70_SiteId">
    <vt:lpwstr>cf36141c-ddd7-45a7-b073-111f66d0b30c</vt:lpwstr>
  </property>
  <property fmtid="{D5CDD505-2E9C-101B-9397-08002B2CF9AE}" pid="4" name="MSIP_Label_236020b0-6d69-48c1-9bb5-c586c1062b70_Owner">
    <vt:lpwstr>ailton.z.da.silva@avanade.com</vt:lpwstr>
  </property>
  <property fmtid="{D5CDD505-2E9C-101B-9397-08002B2CF9AE}" pid="5" name="MSIP_Label_236020b0-6d69-48c1-9bb5-c586c1062b70_SetDate">
    <vt:lpwstr>2019-12-26T23:11:13.2952509Z</vt:lpwstr>
  </property>
  <property fmtid="{D5CDD505-2E9C-101B-9397-08002B2CF9AE}" pid="6" name="MSIP_Label_236020b0-6d69-48c1-9bb5-c586c1062b70_Name">
    <vt:lpwstr>Confidential</vt:lpwstr>
  </property>
  <property fmtid="{D5CDD505-2E9C-101B-9397-08002B2CF9AE}" pid="7" name="MSIP_Label_236020b0-6d69-48c1-9bb5-c586c1062b70_Application">
    <vt:lpwstr>Microsoft Azure Information Protection</vt:lpwstr>
  </property>
  <property fmtid="{D5CDD505-2E9C-101B-9397-08002B2CF9AE}" pid="8" name="MSIP_Label_236020b0-6d69-48c1-9bb5-c586c1062b70_ActionId">
    <vt:lpwstr>3741ea03-01e2-4d2d-b8cf-c075c75e301b</vt:lpwstr>
  </property>
  <property fmtid="{D5CDD505-2E9C-101B-9397-08002B2CF9AE}" pid="9" name="MSIP_Label_236020b0-6d69-48c1-9bb5-c586c1062b70_Extended_MSFT_Method">
    <vt:lpwstr>Automatic</vt:lpwstr>
  </property>
  <property fmtid="{D5CDD505-2E9C-101B-9397-08002B2CF9AE}" pid="10" name="MSIP_Label_5fae8262-b78e-4366-8929-a5d6aac95320_Enabled">
    <vt:lpwstr>True</vt:lpwstr>
  </property>
  <property fmtid="{D5CDD505-2E9C-101B-9397-08002B2CF9AE}" pid="11" name="MSIP_Label_5fae8262-b78e-4366-8929-a5d6aac95320_SiteId">
    <vt:lpwstr>cf36141c-ddd7-45a7-b073-111f66d0b30c</vt:lpwstr>
  </property>
  <property fmtid="{D5CDD505-2E9C-101B-9397-08002B2CF9AE}" pid="12" name="MSIP_Label_5fae8262-b78e-4366-8929-a5d6aac95320_Owner">
    <vt:lpwstr>ailton.z.da.silva@avanade.com</vt:lpwstr>
  </property>
  <property fmtid="{D5CDD505-2E9C-101B-9397-08002B2CF9AE}" pid="13" name="MSIP_Label_5fae8262-b78e-4366-8929-a5d6aac95320_SetDate">
    <vt:lpwstr>2019-12-26T23:11:13.2952509Z</vt:lpwstr>
  </property>
  <property fmtid="{D5CDD505-2E9C-101B-9397-08002B2CF9AE}" pid="14" name="MSIP_Label_5fae8262-b78e-4366-8929-a5d6aac95320_Name">
    <vt:lpwstr>Recipients Have Full Control</vt:lpwstr>
  </property>
  <property fmtid="{D5CDD505-2E9C-101B-9397-08002B2CF9AE}" pid="15" name="MSIP_Label_5fae8262-b78e-4366-8929-a5d6aac95320_Application">
    <vt:lpwstr>Microsoft Azure Information Protection</vt:lpwstr>
  </property>
  <property fmtid="{D5CDD505-2E9C-101B-9397-08002B2CF9AE}" pid="16" name="MSIP_Label_5fae8262-b78e-4366-8929-a5d6aac95320_ActionId">
    <vt:lpwstr>3741ea03-01e2-4d2d-b8cf-c075c75e301b</vt:lpwstr>
  </property>
  <property fmtid="{D5CDD505-2E9C-101B-9397-08002B2CF9AE}" pid="17" name="MSIP_Label_5fae8262-b78e-4366-8929-a5d6aac95320_Parent">
    <vt:lpwstr>236020b0-6d69-48c1-9bb5-c586c1062b70</vt:lpwstr>
  </property>
  <property fmtid="{D5CDD505-2E9C-101B-9397-08002B2CF9AE}" pid="18" name="MSIP_Label_5fae8262-b78e-4366-8929-a5d6aac95320_Extended_MSFT_Method">
    <vt:lpwstr>Automatic</vt:lpwstr>
  </property>
  <property fmtid="{D5CDD505-2E9C-101B-9397-08002B2CF9AE}" pid="19" name="Sensitivity">
    <vt:lpwstr>Confidential Recipients Have Full Control</vt:lpwstr>
  </property>
</Properties>
</file>